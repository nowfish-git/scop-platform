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假设" sheetId="1" state="visible" r:id="rId1"/>
    <sheet xmlns:r="http://schemas.openxmlformats.org/officeDocument/2006/relationships" name="首年月度测算" sheetId="2" state="visible" r:id="rId2"/>
    <sheet xmlns:r="http://schemas.openxmlformats.org/officeDocument/2006/relationships" name="三年预测" sheetId="3" state="visible" r:id="rId3"/>
    <sheet xmlns:r="http://schemas.openxmlformats.org/officeDocument/2006/relationships" name="盈亏平衡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;[Red]-0.0%"/>
  </numFmts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B7280"/>
      <sz val="9"/>
    </font>
    <font>
      <name val="微软雅黑"/>
      <b val="1"/>
      <color rgb="001E40AF"/>
      <sz val="11"/>
    </font>
    <font>
      <name val="微软雅黑"/>
      <b val="1"/>
      <color rgb="00374151"/>
      <sz val="10"/>
    </font>
    <font>
      <name val="微软雅黑"/>
      <color rgb="001F2937"/>
      <sz val="10"/>
    </font>
    <font>
      <name val="微软雅黑"/>
      <color rgb="00166534"/>
      <sz val="10"/>
    </font>
    <font>
      <name val="微软雅黑"/>
      <color rgb="006B7280"/>
      <sz val="9"/>
    </font>
    <font>
      <name val="微软雅黑"/>
      <b val="1"/>
      <color rgb="00991B1B"/>
      <sz val="10"/>
    </font>
    <font>
      <name val="微软雅黑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9" fontId="6" fillId="5" borderId="1" applyAlignment="1" pivotButton="0" quotePrefix="0" xfId="0">
      <alignment horizontal="center" vertical="center" wrapText="1"/>
    </xf>
    <xf numFmtId="0" fontId="4" fillId="4" borderId="1" pivotButton="0" quotePrefix="0" xfId="0"/>
    <xf numFmtId="4" fontId="8" fillId="6" borderId="1" pivotButton="0" quotePrefix="0" xfId="0"/>
    <xf numFmtId="0" fontId="5" fillId="0" borderId="1" pivotButton="0" quotePrefix="0" xfId="0"/>
    <xf numFmtId="0" fontId="7" fillId="0" borderId="1" pivotButton="0" quotePrefix="0" xfId="0"/>
    <xf numFmtId="2" fontId="6" fillId="5" borderId="1" applyAlignment="1" pivotButton="0" quotePrefix="0" xfId="0">
      <alignment horizontal="center" vertical="center" wrapText="1"/>
    </xf>
    <xf numFmtId="3" fontId="8" fillId="6" borderId="1" pivotButton="0" quotePrefix="0" xfId="0"/>
    <xf numFmtId="4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5" fillId="0" borderId="0" pivotButton="0" quotePrefix="0" xfId="0"/>
    <xf numFmtId="3" fontId="5" fillId="0" borderId="1" applyAlignment="1" pivotButton="0" quotePrefix="0" xfId="0">
      <alignment horizontal="center" vertical="center" wrapText="1"/>
    </xf>
    <xf numFmtId="0" fontId="4" fillId="4" borderId="0" pivotButton="0" quotePrefix="0" xfId="0"/>
    <xf numFmtId="3" fontId="4" fillId="4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164" fontId="8" fillId="6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36" customWidth="1" min="4" max="4"/>
  </cols>
  <sheetData>
    <row r="1" ht="32" customHeight="1">
      <c r="A1" s="1" t="inlineStr">
        <is>
          <t>SCOP 智慧社区运营平台 — 财务测算参数假设</t>
        </is>
      </c>
    </row>
    <row r="2">
      <c r="A2" s="2" t="inlineStr">
        <is>
          <t>绿色单元格为可调参数，修改后其他Sheet自动重算 | 红色单元格为计算结果</t>
        </is>
      </c>
    </row>
    <row r="4">
      <c r="A4" s="3" t="inlineStr">
        <is>
          <t>一、订阅套餐参数</t>
        </is>
      </c>
    </row>
    <row r="5">
      <c r="A5" s="4" t="inlineStr">
        <is>
          <t>参数项</t>
        </is>
      </c>
      <c r="B5" s="4" t="inlineStr">
        <is>
          <t>数值</t>
        </is>
      </c>
      <c r="C5" s="4" t="inlineStr">
        <is>
          <t>单位</t>
        </is>
      </c>
      <c r="D5" s="4" t="inlineStr">
        <is>
          <t>说明</t>
        </is>
      </c>
    </row>
    <row r="6">
      <c r="A6" s="5" t="inlineStr">
        <is>
          <t>安全守护包月价</t>
        </is>
      </c>
      <c r="B6" s="6" t="n">
        <v>99</v>
      </c>
      <c r="C6" s="7" t="inlineStr">
        <is>
          <t>元/月/户</t>
        </is>
      </c>
      <c r="D6" s="8" t="inlineStr">
        <is>
          <t>含烟感+门磁+SOS按钮</t>
        </is>
      </c>
    </row>
    <row r="7">
      <c r="A7" s="5" t="inlineStr">
        <is>
          <t>健康守护包月价</t>
        </is>
      </c>
      <c r="B7" s="6" t="n">
        <v>199</v>
      </c>
      <c r="C7" s="7" t="inlineStr">
        <is>
          <t>元/月/户</t>
        </is>
      </c>
      <c r="D7" s="8" t="inlineStr">
        <is>
          <t>含智能穿戴手环</t>
        </is>
      </c>
    </row>
    <row r="8">
      <c r="A8" s="5" t="inlineStr">
        <is>
          <t>全能守护包月价</t>
        </is>
      </c>
      <c r="B8" s="6" t="n">
        <v>299</v>
      </c>
      <c r="C8" s="7" t="inlineStr">
        <is>
          <t>元/月/户</t>
        </is>
      </c>
      <c r="D8" s="8" t="inlineStr">
        <is>
          <t>安全+健康全套硬件</t>
        </is>
      </c>
    </row>
    <row r="9">
      <c r="A9" s="5" t="inlineStr">
        <is>
          <t>安全包占比</t>
        </is>
      </c>
      <c r="B9" s="9" t="n">
        <v>0.3</v>
      </c>
      <c r="C9" s="7" t="inlineStr">
        <is>
          <t>%</t>
        </is>
      </c>
      <c r="D9" s="8" t="inlineStr">
        <is>
          <t>首年套餐结构假设</t>
        </is>
      </c>
    </row>
    <row r="10">
      <c r="A10" s="5" t="inlineStr">
        <is>
          <t>健康包占比</t>
        </is>
      </c>
      <c r="B10" s="9" t="n">
        <v>0.45</v>
      </c>
      <c r="C10" s="7" t="inlineStr">
        <is>
          <t>%</t>
        </is>
      </c>
      <c r="D10" s="8" t="inlineStr">
        <is>
          <t>首年套餐结构假设</t>
        </is>
      </c>
    </row>
    <row r="11">
      <c r="A11" s="5" t="inlineStr">
        <is>
          <t>全能包占比</t>
        </is>
      </c>
      <c r="B11" s="9" t="n">
        <v>0.25</v>
      </c>
      <c r="C11" s="7" t="inlineStr">
        <is>
          <t>%</t>
        </is>
      </c>
      <c r="D11" s="8" t="inlineStr">
        <is>
          <t>首年套餐结构假设</t>
        </is>
      </c>
    </row>
    <row r="12">
      <c r="A12" s="5" t="inlineStr">
        <is>
          <t>年付优惠折扣</t>
        </is>
      </c>
      <c r="B12" s="9" t="n">
        <v>0.85</v>
      </c>
      <c r="C12" s="7" t="inlineStr">
        <is>
          <t>%</t>
        </is>
      </c>
      <c r="D12" s="8" t="inlineStr">
        <is>
          <t>年付享85折</t>
        </is>
      </c>
    </row>
    <row r="13">
      <c r="A13" s="5" t="inlineStr">
        <is>
          <t>年付占比</t>
        </is>
      </c>
      <c r="B13" s="9" t="n">
        <v>0.4</v>
      </c>
      <c r="C13" s="7" t="inlineStr">
        <is>
          <t>%</t>
        </is>
      </c>
      <c r="D13" s="8" t="inlineStr">
        <is>
          <t>选择年付的用户比例</t>
        </is>
      </c>
    </row>
    <row r="14">
      <c r="A14" s="5" t="inlineStr">
        <is>
          <t>续费率</t>
        </is>
      </c>
      <c r="B14" s="9" t="n">
        <v>0.85</v>
      </c>
      <c r="C14" s="7" t="inlineStr">
        <is>
          <t>%</t>
        </is>
      </c>
      <c r="D14" s="8" t="inlineStr">
        <is>
          <t>到期续费率目标</t>
        </is>
      </c>
    </row>
    <row r="16">
      <c r="A16" s="10" t="inlineStr">
        <is>
          <t>加权月ARPU（自动计算）</t>
        </is>
      </c>
      <c r="B16" s="11">
        <f>B9*B6+B10*B7+B11*B8</f>
        <v/>
      </c>
      <c r="C16" s="12" t="inlineStr">
        <is>
          <t>元/月/户</t>
        </is>
      </c>
      <c r="D16" s="13" t="inlineStr">
        <is>
          <t>按套餐占比加权平均</t>
        </is>
      </c>
    </row>
    <row r="18">
      <c r="A18" s="3" t="inlineStr">
        <is>
          <t>二、硬件设备成本参数</t>
        </is>
      </c>
    </row>
    <row r="19">
      <c r="A19" s="4" t="inlineStr">
        <is>
          <t>参数项</t>
        </is>
      </c>
      <c r="B19" s="4" t="inlineStr">
        <is>
          <t>数值</t>
        </is>
      </c>
      <c r="C19" s="4" t="inlineStr">
        <is>
          <t>单位</t>
        </is>
      </c>
      <c r="D19" s="4" t="inlineStr">
        <is>
          <t>说明</t>
        </is>
      </c>
    </row>
    <row r="20">
      <c r="A20" s="5" t="inlineStr">
        <is>
          <t>安全包设备成本</t>
        </is>
      </c>
      <c r="B20" s="6" t="n">
        <v>150</v>
      </c>
      <c r="C20" s="7" t="inlineStr">
        <is>
          <t>元/户</t>
        </is>
      </c>
      <c r="D20" s="8" t="inlineStr">
        <is>
          <t>烟感+门磁+SOS按钮批量采购</t>
        </is>
      </c>
    </row>
    <row r="21">
      <c r="A21" s="5" t="inlineStr">
        <is>
          <t>健康包设备成本</t>
        </is>
      </c>
      <c r="B21" s="6" t="n">
        <v>350</v>
      </c>
      <c r="C21" s="7" t="inlineStr">
        <is>
          <t>元/户</t>
        </is>
      </c>
      <c r="D21" s="8" t="inlineStr">
        <is>
          <t>智能穿戴手环+基础安全设备</t>
        </is>
      </c>
    </row>
    <row r="22">
      <c r="A22" s="5" t="inlineStr">
        <is>
          <t>全能包设备成本</t>
        </is>
      </c>
      <c r="B22" s="6" t="n">
        <v>450</v>
      </c>
      <c r="C22" s="7" t="inlineStr">
        <is>
          <t>元/户</t>
        </is>
      </c>
      <c r="D22" s="8" t="inlineStr">
        <is>
          <t>全套安全+健康设备</t>
        </is>
      </c>
    </row>
    <row r="23">
      <c r="A23" s="5" t="inlineStr">
        <is>
          <t>设备安装费</t>
        </is>
      </c>
      <c r="B23" s="6" t="n">
        <v>50</v>
      </c>
      <c r="C23" s="7" t="inlineStr">
        <is>
          <t>元/户</t>
        </is>
      </c>
      <c r="D23" s="8" t="inlineStr">
        <is>
          <t>上门安装调试</t>
        </is>
      </c>
    </row>
    <row r="24">
      <c r="A24" s="5" t="inlineStr">
        <is>
          <t>设备年故障率</t>
        </is>
      </c>
      <c r="B24" s="9" t="n">
        <v>0.05</v>
      </c>
      <c r="C24" s="7" t="inlineStr">
        <is>
          <t>%</t>
        </is>
      </c>
      <c r="D24" s="8" t="inlineStr">
        <is>
          <t>年故障更换率</t>
        </is>
      </c>
    </row>
    <row r="26">
      <c r="A26" s="10" t="inlineStr">
        <is>
          <t>加权硬件成本（含安装，自动计算）</t>
        </is>
      </c>
      <c r="B26" s="11">
        <f>B9*(B20+B23)+B10*(B21+B23)+B11*(B22+B23)</f>
        <v/>
      </c>
      <c r="C26" s="12" t="inlineStr">
        <is>
          <t>元/户</t>
        </is>
      </c>
      <c r="D26" s="13" t="inlineStr">
        <is>
          <t>按套餐占比加权</t>
        </is>
      </c>
    </row>
    <row r="28">
      <c r="A28" s="3" t="inlineStr">
        <is>
          <t>三、人力成本参数（上海薪资标准）</t>
        </is>
      </c>
    </row>
    <row r="29">
      <c r="A29" s="4" t="inlineStr">
        <is>
          <t>参数项</t>
        </is>
      </c>
      <c r="B29" s="4" t="inlineStr">
        <is>
          <t>数值</t>
        </is>
      </c>
      <c r="C29" s="4" t="inlineStr">
        <is>
          <t>单位</t>
        </is>
      </c>
      <c r="D29" s="4" t="inlineStr">
        <is>
          <t>说明</t>
        </is>
      </c>
    </row>
    <row r="30">
      <c r="A30" s="5" t="inlineStr">
        <is>
          <t>后端开发月薪</t>
        </is>
      </c>
      <c r="B30" s="6" t="n">
        <v>35000</v>
      </c>
      <c r="C30" s="7" t="inlineStr">
        <is>
          <t>元/月/人</t>
        </is>
      </c>
      <c r="D30" s="8" t="inlineStr">
        <is>
          <t>上海中级后端工程师</t>
        </is>
      </c>
    </row>
    <row r="31">
      <c r="A31" s="5" t="inlineStr">
        <is>
          <t>前端开发月薪</t>
        </is>
      </c>
      <c r="B31" s="6" t="n">
        <v>30000</v>
      </c>
      <c r="C31" s="7" t="inlineStr">
        <is>
          <t>元/月/人</t>
        </is>
      </c>
      <c r="D31" s="8" t="inlineStr">
        <is>
          <t>上海中级前端工程师</t>
        </is>
      </c>
    </row>
    <row r="32">
      <c r="A32" s="5" t="inlineStr">
        <is>
          <t>测试工程师月薪</t>
        </is>
      </c>
      <c r="B32" s="6" t="n">
        <v>25000</v>
      </c>
      <c r="C32" s="7" t="inlineStr">
        <is>
          <t>元/月/人</t>
        </is>
      </c>
      <c r="D32" s="8" t="inlineStr">
        <is>
          <t>上海中级测试</t>
        </is>
      </c>
    </row>
    <row r="33">
      <c r="A33" s="5" t="inlineStr">
        <is>
          <t>产品经理月薪</t>
        </is>
      </c>
      <c r="B33" s="6" t="n">
        <v>30000</v>
      </c>
      <c r="C33" s="7" t="inlineStr">
        <is>
          <t>元/月/人</t>
        </is>
      </c>
      <c r="D33" s="8" t="inlineStr">
        <is>
          <t>上海中级产品</t>
        </is>
      </c>
    </row>
    <row r="34">
      <c r="A34" s="5" t="inlineStr">
        <is>
          <t>UI/UX设计师月薪</t>
        </is>
      </c>
      <c r="B34" s="6" t="n">
        <v>28000</v>
      </c>
      <c r="C34" s="7" t="inlineStr">
        <is>
          <t>元/月/人</t>
        </is>
      </c>
      <c r="D34" s="8" t="inlineStr">
        <is>
          <t>上海中级设计</t>
        </is>
      </c>
    </row>
    <row r="35">
      <c r="A35" s="5" t="inlineStr">
        <is>
          <t>项目经理月薪</t>
        </is>
      </c>
      <c r="B35" s="6" t="n">
        <v>32000</v>
      </c>
      <c r="C35" s="7" t="inlineStr">
        <is>
          <t>元/月/人</t>
        </is>
      </c>
      <c r="D35" s="8" t="inlineStr">
        <is>
          <t>上海中级PM</t>
        </is>
      </c>
    </row>
    <row r="36">
      <c r="A36" s="5" t="inlineStr">
        <is>
          <t>运维/DevOps月薪</t>
        </is>
      </c>
      <c r="B36" s="6" t="n">
        <v>30000</v>
      </c>
      <c r="C36" s="7" t="inlineStr">
        <is>
          <t>元/月/人</t>
        </is>
      </c>
      <c r="D36" s="8" t="inlineStr">
        <is>
          <t>上海中级运维</t>
        </is>
      </c>
    </row>
    <row r="37">
      <c r="A37" s="5" t="inlineStr">
        <is>
          <t>社保公积金系数</t>
        </is>
      </c>
      <c r="B37" s="14" t="n">
        <v>1.3</v>
      </c>
      <c r="C37" s="7" t="inlineStr">
        <is>
          <t>倍</t>
        </is>
      </c>
      <c r="D37" s="8" t="inlineStr">
        <is>
          <t>含五险一金及福利</t>
        </is>
      </c>
    </row>
    <row r="38">
      <c r="A38" s="5" t="inlineStr">
        <is>
          <t>后端人数</t>
        </is>
      </c>
      <c r="B38" s="6" t="n">
        <v>3</v>
      </c>
      <c r="C38" s="7" t="inlineStr">
        <is>
          <t>人</t>
        </is>
      </c>
      <c r="D38" s="8" t="inlineStr">
        <is>
          <t>IoT对接1+业务2</t>
        </is>
      </c>
    </row>
    <row r="39">
      <c r="A39" s="5" t="inlineStr">
        <is>
          <t>前端人数</t>
        </is>
      </c>
      <c r="B39" s="6" t="n">
        <v>2</v>
      </c>
      <c r="C39" s="7" t="inlineStr">
        <is>
          <t>人</t>
        </is>
      </c>
      <c r="D39" s="8" t="inlineStr">
        <is>
          <t>Web1+小程序1</t>
        </is>
      </c>
    </row>
    <row r="40">
      <c r="A40" s="5" t="inlineStr">
        <is>
          <t>其他岗位各</t>
        </is>
      </c>
      <c r="B40" s="6" t="n">
        <v>1</v>
      </c>
      <c r="C40" s="7" t="inlineStr">
        <is>
          <t>人</t>
        </is>
      </c>
      <c r="D40" s="8" t="inlineStr">
        <is>
          <t>测试/产品/设计/PM/运维各1人</t>
        </is>
      </c>
    </row>
    <row r="41">
      <c r="A41" s="5" t="inlineStr">
        <is>
          <t>研发工期</t>
        </is>
      </c>
      <c r="B41" s="6" t="n">
        <v>6</v>
      </c>
      <c r="C41" s="7" t="inlineStr">
        <is>
          <t>月</t>
        </is>
      </c>
      <c r="D41" s="8" t="inlineStr">
        <is>
          <t>M0-M8约26周</t>
        </is>
      </c>
    </row>
    <row r="43">
      <c r="A43" s="10" t="inlineStr">
        <is>
          <t>月人力总成本（自动计算）</t>
        </is>
      </c>
      <c r="B43" s="15">
        <f>B37*(B30*B38+B31*B39+(B32+B33+B34+B35+B36)*B40)</f>
        <v/>
      </c>
      <c r="C43" s="12" t="inlineStr">
        <is>
          <t>元/月</t>
        </is>
      </c>
      <c r="D43" s="13" t="inlineStr">
        <is>
          <t>9人团队含五险一金</t>
        </is>
      </c>
    </row>
    <row r="44">
      <c r="A44" s="10" t="inlineStr">
        <is>
          <t>研发期总人力成本（自动计算）</t>
        </is>
      </c>
      <c r="B44" s="15">
        <f>B43*B41</f>
        <v/>
      </c>
      <c r="C44" s="12" t="inlineStr">
        <is>
          <t>元</t>
        </is>
      </c>
      <c r="D44" s="13" t="inlineStr">
        <is>
          <t>月人力×研发工期</t>
        </is>
      </c>
    </row>
    <row r="46">
      <c r="A46" s="3" t="inlineStr">
        <is>
          <t>四、运营成本参数</t>
        </is>
      </c>
    </row>
    <row r="47">
      <c r="A47" s="4" t="inlineStr">
        <is>
          <t>参数项</t>
        </is>
      </c>
      <c r="B47" s="4" t="inlineStr">
        <is>
          <t>数值</t>
        </is>
      </c>
      <c r="C47" s="4" t="inlineStr">
        <is>
          <t>单位</t>
        </is>
      </c>
      <c r="D47" s="4" t="inlineStr">
        <is>
          <t>说明</t>
        </is>
      </c>
    </row>
    <row r="48">
      <c r="A48" s="5" t="inlineStr">
        <is>
          <t>云服务器月费</t>
        </is>
      </c>
      <c r="B48" s="6" t="n">
        <v>15000</v>
      </c>
      <c r="C48" s="7" t="inlineStr">
        <is>
          <t>元/月</t>
        </is>
      </c>
      <c r="D48" s="8" t="inlineStr">
        <is>
          <t>云主机+数据库+CDN</t>
        </is>
      </c>
    </row>
    <row r="49">
      <c r="A49" s="5" t="inlineStr">
        <is>
          <t>IoT平台月费</t>
        </is>
      </c>
      <c r="B49" s="6" t="n">
        <v>8000</v>
      </c>
      <c r="C49" s="7" t="inlineStr">
        <is>
          <t>元/月</t>
        </is>
      </c>
      <c r="D49" s="8" t="inlineStr">
        <is>
          <t>IoT设备云平台服务费</t>
        </is>
      </c>
    </row>
    <row r="50">
      <c r="A50" s="5" t="inlineStr">
        <is>
          <t>短信/通知月费</t>
        </is>
      </c>
      <c r="B50" s="6" t="n">
        <v>5000</v>
      </c>
      <c r="C50" s="7" t="inlineStr">
        <is>
          <t>元/月</t>
        </is>
      </c>
      <c r="D50" s="8" t="inlineStr">
        <is>
          <t>短信+微信通知</t>
        </is>
      </c>
    </row>
    <row r="51">
      <c r="A51" s="5" t="inlineStr">
        <is>
          <t>第三方API月费</t>
        </is>
      </c>
      <c r="B51" s="6" t="n">
        <v>3000</v>
      </c>
      <c r="C51" s="7" t="inlineStr">
        <is>
          <t>元/月</t>
        </is>
      </c>
      <c r="D51" s="8" t="inlineStr">
        <is>
          <t>地图API+其他</t>
        </is>
      </c>
    </row>
    <row r="52">
      <c r="A52" s="5" t="inlineStr">
        <is>
          <t>社区拓展人均月薪</t>
        </is>
      </c>
      <c r="B52" s="6" t="n">
        <v>12000</v>
      </c>
      <c r="C52" s="7" t="inlineStr">
        <is>
          <t>元/月/人</t>
        </is>
      </c>
      <c r="D52" s="8" t="inlineStr">
        <is>
          <t>地推+社区关系</t>
        </is>
      </c>
    </row>
    <row r="53">
      <c r="A53" s="5" t="inlineStr">
        <is>
          <t>拓展团队人数</t>
        </is>
      </c>
      <c r="B53" s="6" t="n">
        <v>3</v>
      </c>
      <c r="C53" s="7" t="inlineStr">
        <is>
          <t>人</t>
        </is>
      </c>
      <c r="D53" s="8" t="inlineStr">
        <is>
          <t>首年拓展团队</t>
        </is>
      </c>
    </row>
    <row r="54">
      <c r="A54" s="5" t="inlineStr">
        <is>
          <t>安装人员外包费</t>
        </is>
      </c>
      <c r="B54" s="6" t="n">
        <v>80</v>
      </c>
      <c r="C54" s="7" t="inlineStr">
        <is>
          <t>元/户</t>
        </is>
      </c>
      <c r="D54" s="8" t="inlineStr">
        <is>
          <t>单户上门安装外包</t>
        </is>
      </c>
    </row>
    <row r="55">
      <c r="A55" s="5" t="inlineStr">
        <is>
          <t>市场推广月费</t>
        </is>
      </c>
      <c r="B55" s="6" t="n">
        <v>20000</v>
      </c>
      <c r="C55" s="7" t="inlineStr">
        <is>
          <t>元/月</t>
        </is>
      </c>
      <c r="D55" s="8" t="inlineStr">
        <is>
          <t>宣传物料+社区活动</t>
        </is>
      </c>
    </row>
    <row r="56">
      <c r="A56" s="5" t="inlineStr">
        <is>
          <t>管理办公月费</t>
        </is>
      </c>
      <c r="B56" s="6" t="n">
        <v>15000</v>
      </c>
      <c r="C56" s="7" t="inlineStr">
        <is>
          <t>元/月</t>
        </is>
      </c>
      <c r="D56" s="8" t="inlineStr">
        <is>
          <t>办公场地+行政</t>
        </is>
      </c>
    </row>
    <row r="58">
      <c r="A58" s="10" t="inlineStr">
        <is>
          <t>月运营固定成本（自动计算）</t>
        </is>
      </c>
      <c r="B58" s="15">
        <f>B48+B49+B50+B51+B52*B53+B55+B56</f>
        <v/>
      </c>
      <c r="C58" s="12" t="inlineStr">
        <is>
          <t>元/月</t>
        </is>
      </c>
      <c r="D58" s="13" t="inlineStr">
        <is>
          <t>不含人力、硬件、安装</t>
        </is>
      </c>
    </row>
    <row r="60">
      <c r="A60" s="3" t="inlineStr">
        <is>
          <t>五、首年户数增长假设（月末累计户数）</t>
        </is>
      </c>
    </row>
    <row r="61">
      <c r="A61" s="4" t="inlineStr">
        <is>
          <t>月份</t>
        </is>
      </c>
      <c r="B61" s="4" t="inlineStr">
        <is>
          <t>M1</t>
        </is>
      </c>
      <c r="C61" s="4" t="inlineStr">
        <is>
          <t>M2</t>
        </is>
      </c>
      <c r="D61" s="4" t="inlineStr">
        <is>
          <t>M3</t>
        </is>
      </c>
      <c r="E61" s="4" t="inlineStr">
        <is>
          <t>M4</t>
        </is>
      </c>
      <c r="F61" s="4" t="inlineStr">
        <is>
          <t>M5</t>
        </is>
      </c>
      <c r="G61" s="4" t="inlineStr">
        <is>
          <t>M6</t>
        </is>
      </c>
      <c r="H61" s="4" t="inlineStr">
        <is>
          <t>M7</t>
        </is>
      </c>
      <c r="I61" s="4" t="inlineStr">
        <is>
          <t>M8</t>
        </is>
      </c>
      <c r="J61" s="4" t="inlineStr">
        <is>
          <t>M9</t>
        </is>
      </c>
      <c r="K61" s="4" t="inlineStr">
        <is>
          <t>M10</t>
        </is>
      </c>
      <c r="L61" s="4" t="inlineStr">
        <is>
          <t>M11</t>
        </is>
      </c>
      <c r="M61" s="4" t="inlineStr">
        <is>
          <t>M12</t>
        </is>
      </c>
    </row>
    <row r="62">
      <c r="A62" s="7" t="inlineStr">
        <is>
          <t>累计户数</t>
        </is>
      </c>
      <c r="B62" s="6" t="n">
        <v>0</v>
      </c>
      <c r="C62" s="6" t="n">
        <v>0</v>
      </c>
      <c r="D62" s="6" t="n">
        <v>0</v>
      </c>
      <c r="E62" s="6" t="n">
        <v>50</v>
      </c>
      <c r="F62" s="6" t="n">
        <v>150</v>
      </c>
      <c r="G62" s="6" t="n">
        <v>300</v>
      </c>
      <c r="H62" s="6" t="n">
        <v>600</v>
      </c>
      <c r="I62" s="6" t="n">
        <v>1000</v>
      </c>
      <c r="J62" s="6" t="n">
        <v>1400</v>
      </c>
      <c r="K62" s="6" t="n">
        <v>1700</v>
      </c>
      <c r="L62" s="6" t="n">
        <v>1900</v>
      </c>
      <c r="M62" s="6" t="n">
        <v>2000</v>
      </c>
    </row>
    <row r="64">
      <c r="A64" s="3" t="inlineStr">
        <is>
          <t>六、三年预测假设</t>
        </is>
      </c>
    </row>
    <row r="65">
      <c r="A65" s="4" t="inlineStr">
        <is>
          <t>参数项</t>
        </is>
      </c>
      <c r="B65" s="4" t="inlineStr">
        <is>
          <t>数值</t>
        </is>
      </c>
      <c r="C65" s="4" t="inlineStr">
        <is>
          <t>单位</t>
        </is>
      </c>
      <c r="D65" s="4" t="inlineStr">
        <is>
          <t>说明</t>
        </is>
      </c>
    </row>
    <row r="66">
      <c r="A66" s="5" t="inlineStr">
        <is>
          <t>Y1年末累计户数</t>
        </is>
      </c>
      <c r="B66" s="6" t="n">
        <v>2000</v>
      </c>
      <c r="C66" s="7" t="inlineStr">
        <is>
          <t>户</t>
        </is>
      </c>
      <c r="D66" s="8" t="inlineStr">
        <is>
          <t>首年目标</t>
        </is>
      </c>
    </row>
    <row r="67">
      <c r="A67" s="5" t="inlineStr">
        <is>
          <t>Y2年末累计户数</t>
        </is>
      </c>
      <c r="B67" s="6" t="n">
        <v>8000</v>
      </c>
      <c r="C67" s="7" t="inlineStr">
        <is>
          <t>户</t>
        </is>
      </c>
      <c r="D67" s="8" t="inlineStr">
        <is>
          <t>上海规模化</t>
        </is>
      </c>
    </row>
    <row r="68">
      <c r="A68" s="5" t="inlineStr">
        <is>
          <t>Y3年末累计户数</t>
        </is>
      </c>
      <c r="B68" s="6" t="n">
        <v>20000</v>
      </c>
      <c r="C68" s="7" t="inlineStr">
        <is>
          <t>户</t>
        </is>
      </c>
      <c r="D68" s="8" t="inlineStr">
        <is>
          <t>长三角拓展</t>
        </is>
      </c>
    </row>
    <row r="69">
      <c r="A69" s="5" t="inlineStr">
        <is>
          <t>Y2新增V2模块收入系数</t>
        </is>
      </c>
      <c r="B69" s="9" t="n">
        <v>0.15</v>
      </c>
      <c r="C69" s="7" t="inlineStr">
        <is>
          <t>%</t>
        </is>
      </c>
      <c r="D69" s="8" t="inlineStr">
        <is>
          <t>餐饮/家政等增量收入占订阅收入比</t>
        </is>
      </c>
    </row>
    <row r="70">
      <c r="A70" s="5" t="inlineStr">
        <is>
          <t>Y3新增V2模块收入系数</t>
        </is>
      </c>
      <c r="B70" s="9" t="n">
        <v>0.25</v>
      </c>
      <c r="C70" s="7" t="inlineStr">
        <is>
          <t>%</t>
        </is>
      </c>
      <c r="D70" s="8" t="inlineStr">
        <is>
          <t>V2模块成熟后占比提升</t>
        </is>
      </c>
    </row>
    <row r="71">
      <c r="A71" s="5" t="inlineStr">
        <is>
          <t>Y2运营成本增长系数</t>
        </is>
      </c>
      <c r="B71" s="16" t="n">
        <v>1.8</v>
      </c>
      <c r="C71" s="7" t="inlineStr">
        <is>
          <t>倍</t>
        </is>
      </c>
      <c r="D71" s="8" t="inlineStr">
        <is>
          <t>团队扩张+运营规模扩大</t>
        </is>
      </c>
    </row>
    <row r="72">
      <c r="A72" s="5" t="inlineStr">
        <is>
          <t>Y3运营成本增长系数</t>
        </is>
      </c>
      <c r="B72" s="16" t="n">
        <v>2.5</v>
      </c>
      <c r="C72" s="7" t="inlineStr">
        <is>
          <t>倍</t>
        </is>
      </c>
      <c r="D72" s="8" t="inlineStr">
        <is>
          <t>进一步扩张</t>
        </is>
      </c>
    </row>
    <row r="73">
      <c r="A73" s="5" t="inlineStr">
        <is>
          <t>折现率</t>
        </is>
      </c>
      <c r="B73" s="9" t="n">
        <v>0.12</v>
      </c>
      <c r="C73" s="7" t="inlineStr">
        <is>
          <t>%</t>
        </is>
      </c>
      <c r="D73" s="8" t="inlineStr">
        <is>
          <t>用于IRR/NPV计算</t>
        </is>
      </c>
    </row>
  </sheetData>
  <mergeCells count="8">
    <mergeCell ref="A1:D1"/>
    <mergeCell ref="A18:D18"/>
    <mergeCell ref="A60:D60"/>
    <mergeCell ref="A4:D4"/>
    <mergeCell ref="A64:D64"/>
    <mergeCell ref="A2:D2"/>
    <mergeCell ref="A28:D28"/>
    <mergeCell ref="A46:D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2" customHeight="1">
      <c r="A1" s="1" t="inlineStr">
        <is>
          <t>SCOP 首年月度财务测算（M1-M12）</t>
        </is>
      </c>
    </row>
    <row r="3">
      <c r="A3" s="17" t="inlineStr">
        <is>
          <t>项目</t>
        </is>
      </c>
      <c r="B3" s="17" t="inlineStr">
        <is>
          <t>M1</t>
        </is>
      </c>
      <c r="C3" s="17" t="inlineStr">
        <is>
          <t>M2</t>
        </is>
      </c>
      <c r="D3" s="17" t="inlineStr">
        <is>
          <t>M3</t>
        </is>
      </c>
      <c r="E3" s="17" t="inlineStr">
        <is>
          <t>M4</t>
        </is>
      </c>
      <c r="F3" s="17" t="inlineStr">
        <is>
          <t>M5</t>
        </is>
      </c>
      <c r="G3" s="17" t="inlineStr">
        <is>
          <t>M6</t>
        </is>
      </c>
      <c r="H3" s="17" t="inlineStr">
        <is>
          <t>M7</t>
        </is>
      </c>
      <c r="I3" s="17" t="inlineStr">
        <is>
          <t>M8</t>
        </is>
      </c>
      <c r="J3" s="17" t="inlineStr">
        <is>
          <t>M9</t>
        </is>
      </c>
      <c r="K3" s="17" t="inlineStr">
        <is>
          <t>M10</t>
        </is>
      </c>
      <c r="L3" s="17" t="inlineStr">
        <is>
          <t>M11</t>
        </is>
      </c>
      <c r="M3" s="17" t="inlineStr">
        <is>
          <t>M12</t>
        </is>
      </c>
      <c r="N3" s="17" t="inlineStr">
        <is>
          <t>全年合计</t>
        </is>
      </c>
    </row>
    <row r="4">
      <c r="A4" s="18" t="inlineStr">
        <is>
          <t>一、收入</t>
        </is>
      </c>
    </row>
    <row r="5">
      <c r="A5" s="19" t="inlineStr">
        <is>
          <t>月末累计户数</t>
        </is>
      </c>
      <c r="B5" s="20">
        <f>'参数假设'!B62</f>
        <v/>
      </c>
      <c r="C5" s="20">
        <f>'参数假设'!C62</f>
        <v/>
      </c>
      <c r="D5" s="20">
        <f>'参数假设'!D62</f>
        <v/>
      </c>
      <c r="E5" s="20">
        <f>'参数假设'!E62</f>
        <v/>
      </c>
      <c r="F5" s="20">
        <f>'参数假设'!F62</f>
        <v/>
      </c>
      <c r="G5" s="20">
        <f>'参数假设'!G62</f>
        <v/>
      </c>
      <c r="H5" s="20">
        <f>'参数假设'!H62</f>
        <v/>
      </c>
      <c r="I5" s="20">
        <f>'参数假设'!I62</f>
        <v/>
      </c>
      <c r="J5" s="20">
        <f>'参数假设'!J62</f>
        <v/>
      </c>
      <c r="K5" s="20">
        <f>'参数假设'!K62</f>
        <v/>
      </c>
      <c r="L5" s="20">
        <f>'参数假设'!L62</f>
        <v/>
      </c>
      <c r="M5" s="20">
        <f>'参数假设'!M62</f>
        <v/>
      </c>
      <c r="N5" s="20">
        <f>M5</f>
        <v/>
      </c>
    </row>
    <row r="6">
      <c r="A6" s="19" t="inlineStr">
        <is>
          <t>当月新增户数</t>
        </is>
      </c>
      <c r="B6" s="19">
        <f>B5</f>
        <v/>
      </c>
      <c r="C6" s="20">
        <f>C5-B5</f>
        <v/>
      </c>
      <c r="D6" s="20">
        <f>D5-C5</f>
        <v/>
      </c>
      <c r="E6" s="20">
        <f>E5-D5</f>
        <v/>
      </c>
      <c r="F6" s="20">
        <f>F5-E5</f>
        <v/>
      </c>
      <c r="G6" s="20">
        <f>G5-F5</f>
        <v/>
      </c>
      <c r="H6" s="20">
        <f>H5-G5</f>
        <v/>
      </c>
      <c r="I6" s="20">
        <f>I5-H5</f>
        <v/>
      </c>
      <c r="J6" s="20">
        <f>J5-I5</f>
        <v/>
      </c>
      <c r="K6" s="20">
        <f>K5-J5</f>
        <v/>
      </c>
      <c r="L6" s="20">
        <f>L5-K5</f>
        <v/>
      </c>
      <c r="M6" s="20">
        <f>M5-L5</f>
        <v/>
      </c>
      <c r="N6" s="20">
        <f>SUM(B6:M6)</f>
        <v/>
      </c>
    </row>
    <row r="7">
      <c r="A7" s="21" t="inlineStr">
        <is>
          <t>月订阅收入</t>
        </is>
      </c>
      <c r="B7" s="22">
        <f>B5*'参数假设'!B16</f>
        <v/>
      </c>
      <c r="C7" s="22">
        <f>C5*'参数假设'!B16</f>
        <v/>
      </c>
      <c r="D7" s="22">
        <f>D5*'参数假设'!B16</f>
        <v/>
      </c>
      <c r="E7" s="22">
        <f>E5*'参数假设'!B16</f>
        <v/>
      </c>
      <c r="F7" s="22">
        <f>F5*'参数假设'!B16</f>
        <v/>
      </c>
      <c r="G7" s="22">
        <f>G5*'参数假设'!B16</f>
        <v/>
      </c>
      <c r="H7" s="22">
        <f>H5*'参数假设'!B16</f>
        <v/>
      </c>
      <c r="I7" s="22">
        <f>I5*'参数假设'!B16</f>
        <v/>
      </c>
      <c r="J7" s="22">
        <f>J5*'参数假设'!B16</f>
        <v/>
      </c>
      <c r="K7" s="22">
        <f>K5*'参数假设'!B16</f>
        <v/>
      </c>
      <c r="L7" s="22">
        <f>L5*'参数假设'!B16</f>
        <v/>
      </c>
      <c r="M7" s="22">
        <f>M5*'参数假设'!B16</f>
        <v/>
      </c>
      <c r="N7" s="23">
        <f>SUM(B7:M7)</f>
        <v/>
      </c>
    </row>
    <row r="9">
      <c r="A9" s="18" t="inlineStr">
        <is>
          <t>二、成本</t>
        </is>
      </c>
    </row>
    <row r="10">
      <c r="A10" s="19" t="inlineStr">
        <is>
          <t>人力成本（9人团队）</t>
        </is>
      </c>
      <c r="B10" s="20">
        <f>'参数假设'!B43</f>
        <v/>
      </c>
      <c r="C10" s="20">
        <f>'参数假设'!B43</f>
        <v/>
      </c>
      <c r="D10" s="20">
        <f>'参数假设'!B43</f>
        <v/>
      </c>
      <c r="E10" s="20">
        <f>'参数假设'!B43</f>
        <v/>
      </c>
      <c r="F10" s="20">
        <f>'参数假设'!B43</f>
        <v/>
      </c>
      <c r="G10" s="20">
        <f>'参数假设'!B43</f>
        <v/>
      </c>
      <c r="H10" s="20">
        <f>'参数假设'!B43</f>
        <v/>
      </c>
      <c r="I10" s="20">
        <f>'参数假设'!B43</f>
        <v/>
      </c>
      <c r="J10" s="20">
        <f>'参数假设'!B43</f>
        <v/>
      </c>
      <c r="K10" s="20">
        <f>'参数假设'!B43</f>
        <v/>
      </c>
      <c r="L10" s="20">
        <f>'参数假设'!B43</f>
        <v/>
      </c>
      <c r="M10" s="20">
        <f>'参数假设'!B43</f>
        <v/>
      </c>
      <c r="N10" s="20">
        <f>SUM(B10:M10)</f>
        <v/>
      </c>
    </row>
    <row r="11">
      <c r="A11" s="19" t="inlineStr">
        <is>
          <t>硬件采购+安装</t>
        </is>
      </c>
      <c r="B11" s="20">
        <f>B6*'参数假设'!B26</f>
        <v/>
      </c>
      <c r="C11" s="20">
        <f>C6*'参数假设'!B26</f>
        <v/>
      </c>
      <c r="D11" s="20">
        <f>D6*'参数假设'!B26</f>
        <v/>
      </c>
      <c r="E11" s="20">
        <f>E6*'参数假设'!B26</f>
        <v/>
      </c>
      <c r="F11" s="20">
        <f>F6*'参数假设'!B26</f>
        <v/>
      </c>
      <c r="G11" s="20">
        <f>G6*'参数假设'!B26</f>
        <v/>
      </c>
      <c r="H11" s="20">
        <f>H6*'参数假设'!B26</f>
        <v/>
      </c>
      <c r="I11" s="20">
        <f>I6*'参数假设'!B26</f>
        <v/>
      </c>
      <c r="J11" s="20">
        <f>J6*'参数假设'!B26</f>
        <v/>
      </c>
      <c r="K11" s="20">
        <f>K6*'参数假设'!B26</f>
        <v/>
      </c>
      <c r="L11" s="20">
        <f>L6*'参数假设'!B26</f>
        <v/>
      </c>
      <c r="M11" s="20">
        <f>M6*'参数假设'!B26</f>
        <v/>
      </c>
      <c r="N11" s="20">
        <f>SUM(B11:M11)</f>
        <v/>
      </c>
    </row>
    <row r="12">
      <c r="A12" s="19" t="inlineStr">
        <is>
          <t>运营固定成本</t>
        </is>
      </c>
      <c r="B12" s="20">
        <f>'参数假设'!B58</f>
        <v/>
      </c>
      <c r="C12" s="20">
        <f>'参数假设'!B58</f>
        <v/>
      </c>
      <c r="D12" s="20">
        <f>'参数假设'!B58</f>
        <v/>
      </c>
      <c r="E12" s="20">
        <f>'参数假设'!B58</f>
        <v/>
      </c>
      <c r="F12" s="20">
        <f>'参数假设'!B58</f>
        <v/>
      </c>
      <c r="G12" s="20">
        <f>'参数假设'!B58</f>
        <v/>
      </c>
      <c r="H12" s="20">
        <f>'参数假设'!B58</f>
        <v/>
      </c>
      <c r="I12" s="20">
        <f>'参数假设'!B58</f>
        <v/>
      </c>
      <c r="J12" s="20">
        <f>'参数假设'!B58</f>
        <v/>
      </c>
      <c r="K12" s="20">
        <f>'参数假设'!B58</f>
        <v/>
      </c>
      <c r="L12" s="20">
        <f>'参数假设'!B58</f>
        <v/>
      </c>
      <c r="M12" s="20">
        <f>'参数假设'!B58</f>
        <v/>
      </c>
      <c r="N12" s="20">
        <f>SUM(B12:M12)</f>
        <v/>
      </c>
    </row>
    <row r="13">
      <c r="A13" s="21" t="inlineStr">
        <is>
          <t>成本合计</t>
        </is>
      </c>
      <c r="B13" s="22">
        <f>B10+B11+B12</f>
        <v/>
      </c>
      <c r="C13" s="22">
        <f>C10+C11+C12</f>
        <v/>
      </c>
      <c r="D13" s="22">
        <f>D10+D11+D12</f>
        <v/>
      </c>
      <c r="E13" s="22">
        <f>E10+E11+E12</f>
        <v/>
      </c>
      <c r="F13" s="22">
        <f>F10+F11+F12</f>
        <v/>
      </c>
      <c r="G13" s="22">
        <f>G10+G11+G12</f>
        <v/>
      </c>
      <c r="H13" s="22">
        <f>H10+H11+H12</f>
        <v/>
      </c>
      <c r="I13" s="22">
        <f>I10+I11+I12</f>
        <v/>
      </c>
      <c r="J13" s="22">
        <f>J10+J11+J12</f>
        <v/>
      </c>
      <c r="K13" s="22">
        <f>K10+K11+K12</f>
        <v/>
      </c>
      <c r="L13" s="22">
        <f>L10+L11+L12</f>
        <v/>
      </c>
      <c r="M13" s="22">
        <f>M10+M11+M12</f>
        <v/>
      </c>
      <c r="N13" s="23">
        <f>SUM(B13:M13)</f>
        <v/>
      </c>
    </row>
    <row r="15">
      <c r="A15" s="18" t="inlineStr">
        <is>
          <t>三、利润分析</t>
        </is>
      </c>
    </row>
    <row r="16">
      <c r="A16" s="21" t="inlineStr">
        <is>
          <t>月净利润</t>
        </is>
      </c>
      <c r="B16" s="24">
        <f>B7-B13</f>
        <v/>
      </c>
      <c r="C16" s="24">
        <f>C7-C13</f>
        <v/>
      </c>
      <c r="D16" s="24">
        <f>D7-D13</f>
        <v/>
      </c>
      <c r="E16" s="24">
        <f>E7-E13</f>
        <v/>
      </c>
      <c r="F16" s="24">
        <f>F7-F13</f>
        <v/>
      </c>
      <c r="G16" s="24">
        <f>G7-G13</f>
        <v/>
      </c>
      <c r="H16" s="24">
        <f>H7-H13</f>
        <v/>
      </c>
      <c r="I16" s="24">
        <f>I7-I13</f>
        <v/>
      </c>
      <c r="J16" s="24">
        <f>J7-J13</f>
        <v/>
      </c>
      <c r="K16" s="24">
        <f>K7-K13</f>
        <v/>
      </c>
      <c r="L16" s="24">
        <f>L7-L13</f>
        <v/>
      </c>
      <c r="M16" s="24">
        <f>M7-M13</f>
        <v/>
      </c>
      <c r="N16" s="25">
        <f>SUM(B16:M16)</f>
        <v/>
      </c>
    </row>
    <row r="17">
      <c r="A17" s="26" t="inlineStr">
        <is>
          <t>累计利润</t>
        </is>
      </c>
      <c r="B17" s="27">
        <f>B16</f>
        <v/>
      </c>
      <c r="C17" s="27">
        <f>B17+C16</f>
        <v/>
      </c>
      <c r="D17" s="27">
        <f>C17+D16</f>
        <v/>
      </c>
      <c r="E17" s="27">
        <f>D17+E16</f>
        <v/>
      </c>
      <c r="F17" s="27">
        <f>E17+F16</f>
        <v/>
      </c>
      <c r="G17" s="27">
        <f>F17+G16</f>
        <v/>
      </c>
      <c r="H17" s="27">
        <f>G17+H16</f>
        <v/>
      </c>
      <c r="I17" s="27">
        <f>H17+I16</f>
        <v/>
      </c>
      <c r="J17" s="27">
        <f>I17+J16</f>
        <v/>
      </c>
      <c r="K17" s="27">
        <f>J17+K16</f>
        <v/>
      </c>
      <c r="L17" s="27">
        <f>K17+L16</f>
        <v/>
      </c>
      <c r="M17" s="27">
        <f>L17+M16</f>
        <v/>
      </c>
      <c r="N17" s="27">
        <f>M17</f>
        <v/>
      </c>
    </row>
    <row r="18">
      <c r="A18" s="19" t="inlineStr">
        <is>
          <t>月利润率</t>
        </is>
      </c>
      <c r="B18" s="28">
        <f>IF(B7=0,0,B16/B7)</f>
        <v/>
      </c>
      <c r="C18" s="28">
        <f>IF(C7=0,0,C16/C7)</f>
        <v/>
      </c>
      <c r="D18" s="28">
        <f>IF(D7=0,0,D16/D7)</f>
        <v/>
      </c>
      <c r="E18" s="28">
        <f>IF(E7=0,0,E16/E7)</f>
        <v/>
      </c>
      <c r="F18" s="28">
        <f>IF(F7=0,0,F16/F7)</f>
        <v/>
      </c>
      <c r="G18" s="28">
        <f>IF(G7=0,0,G16/G7)</f>
        <v/>
      </c>
      <c r="H18" s="28">
        <f>IF(H7=0,0,H16/H7)</f>
        <v/>
      </c>
      <c r="I18" s="28">
        <f>IF(I7=0,0,I16/I7)</f>
        <v/>
      </c>
      <c r="J18" s="28">
        <f>IF(J7=0,0,J16/J7)</f>
        <v/>
      </c>
      <c r="K18" s="28">
        <f>IF(K7=0,0,K16/K7)</f>
        <v/>
      </c>
      <c r="L18" s="28">
        <f>IF(L7=0,0,L16/L7)</f>
        <v/>
      </c>
      <c r="M18" s="28">
        <f>IF(M7=0,0,M16/M7)</f>
        <v/>
      </c>
      <c r="N18" s="28">
        <f>N16/N7</f>
        <v/>
      </c>
    </row>
    <row r="20">
      <c r="A20" s="18" t="inlineStr">
        <is>
          <t>四、关键结论</t>
        </is>
      </c>
    </row>
    <row r="21">
      <c r="A21" s="12" t="inlineStr">
        <is>
          <t>首年总收入</t>
        </is>
      </c>
      <c r="B21" s="27">
        <f>N7</f>
        <v/>
      </c>
      <c r="C21" s="12" t="inlineStr">
        <is>
          <t>元</t>
        </is>
      </c>
    </row>
    <row r="22">
      <c r="A22" s="12" t="inlineStr">
        <is>
          <t>首年总成本</t>
        </is>
      </c>
      <c r="B22" s="27">
        <f>N13</f>
        <v/>
      </c>
      <c r="C22" s="12" t="inlineStr">
        <is>
          <t>元</t>
        </is>
      </c>
    </row>
    <row r="23">
      <c r="A23" s="12" t="inlineStr">
        <is>
          <t>首年净利润</t>
        </is>
      </c>
      <c r="B23" s="27">
        <f>N16</f>
        <v/>
      </c>
      <c r="C23" s="12" t="inlineStr">
        <is>
          <t>元</t>
        </is>
      </c>
    </row>
    <row r="24">
      <c r="A24" s="12" t="inlineStr">
        <is>
          <t>首年研发人力投入</t>
        </is>
      </c>
      <c r="B24" s="27">
        <f>N10</f>
        <v/>
      </c>
      <c r="C24" s="12" t="inlineStr">
        <is>
          <t>元</t>
        </is>
      </c>
    </row>
    <row r="25">
      <c r="A25" s="12" t="inlineStr">
        <is>
          <t>首年硬件投入</t>
        </is>
      </c>
      <c r="B25" s="27">
        <f>N11</f>
        <v/>
      </c>
      <c r="C25" s="12" t="inlineStr">
        <is>
          <t>元</t>
        </is>
      </c>
    </row>
    <row r="26">
      <c r="A26" s="12" t="inlineStr">
        <is>
          <t>首年运营成本</t>
        </is>
      </c>
      <c r="B26" s="27">
        <f>N12</f>
        <v/>
      </c>
      <c r="C26" s="12" t="inlineStr">
        <is>
          <t>元</t>
        </is>
      </c>
    </row>
    <row r="27">
      <c r="A27" s="12" t="inlineStr">
        <is>
          <t>首年MRR（M12月订阅收入）</t>
        </is>
      </c>
      <c r="B27" s="27">
        <f>M7</f>
        <v/>
      </c>
      <c r="C27" s="12" t="inlineStr">
        <is>
          <t>元</t>
        </is>
      </c>
    </row>
  </sheetData>
  <mergeCells count="5">
    <mergeCell ref="A15:O15"/>
    <mergeCell ref="A20:O20"/>
    <mergeCell ref="A1:O1"/>
    <mergeCell ref="A9:O9"/>
    <mergeCell ref="A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SCOP 三年财务预测</t>
        </is>
      </c>
    </row>
    <row r="3">
      <c r="A3" s="17" t="inlineStr">
        <is>
          <t>项目</t>
        </is>
      </c>
      <c r="B3" s="17" t="inlineStr">
        <is>
          <t>Y1（首年）</t>
        </is>
      </c>
      <c r="C3" s="17" t="inlineStr">
        <is>
          <t>Y2（次年）</t>
        </is>
      </c>
      <c r="D3" s="17" t="inlineStr">
        <is>
          <t>Y3（第三年）</t>
        </is>
      </c>
      <c r="E3" s="17" t="inlineStr">
        <is>
          <t>三年合计</t>
        </is>
      </c>
    </row>
    <row r="4">
      <c r="A4" s="7" t="inlineStr">
        <is>
          <t>年末累计户数</t>
        </is>
      </c>
      <c r="B4" s="20">
        <f>'参数假设'!B66</f>
        <v/>
      </c>
      <c r="C4" s="20">
        <f>'参数假设'!B67</f>
        <v/>
      </c>
      <c r="D4" s="20">
        <f>'参数假设'!B68</f>
        <v/>
      </c>
      <c r="E4" s="7" t="inlineStr">
        <is>
          <t>—</t>
        </is>
      </c>
    </row>
    <row r="5">
      <c r="A5" s="7" t="inlineStr">
        <is>
          <t>年平均户数</t>
        </is>
      </c>
      <c r="B5" s="20">
        <f>B4/2</f>
        <v/>
      </c>
      <c r="C5" s="20">
        <f>(B4+C4)/2</f>
        <v/>
      </c>
      <c r="D5" s="20">
        <f>(C4+D4)/2</f>
        <v/>
      </c>
      <c r="E5" s="7" t="inlineStr">
        <is>
          <t>—</t>
        </is>
      </c>
    </row>
    <row r="7">
      <c r="A7" s="18" t="inlineStr">
        <is>
          <t>一、收入</t>
        </is>
      </c>
    </row>
    <row r="8">
      <c r="A8" s="19" t="inlineStr">
        <is>
          <t>订阅收入</t>
        </is>
      </c>
      <c r="B8" s="20">
        <f>B5*'参数假设'!B16*12</f>
        <v/>
      </c>
      <c r="C8" s="20">
        <f>C5*'参数假设'!B16*12</f>
        <v/>
      </c>
      <c r="D8" s="20">
        <f>D5*'参数假设'!B16*12</f>
        <v/>
      </c>
      <c r="E8" s="20">
        <f>SUM(B8:D8)</f>
        <v/>
      </c>
    </row>
    <row r="9">
      <c r="A9" s="20" t="inlineStr">
        <is>
          <t>V2模块增量收入</t>
        </is>
      </c>
      <c r="B9" s="20" t="n">
        <v>0</v>
      </c>
      <c r="C9" s="20">
        <f>C8*'参数假设'!B69</f>
        <v/>
      </c>
      <c r="D9" s="20">
        <f>D8*'参数假设'!B70</f>
        <v/>
      </c>
      <c r="E9" s="20">
        <f>SUM(B9:D9)</f>
        <v/>
      </c>
    </row>
    <row r="10">
      <c r="A10" s="21" t="inlineStr">
        <is>
          <t>总收入</t>
        </is>
      </c>
      <c r="B10" s="22">
        <f>B8+B9</f>
        <v/>
      </c>
      <c r="C10" s="22">
        <f>C8+C9</f>
        <v/>
      </c>
      <c r="D10" s="22">
        <f>D8+D9</f>
        <v/>
      </c>
      <c r="E10" s="23">
        <f>SUM(B10:D10)</f>
        <v/>
      </c>
    </row>
    <row r="12">
      <c r="A12" s="18" t="inlineStr">
        <is>
          <t>二、成本</t>
        </is>
      </c>
    </row>
    <row r="13">
      <c r="A13" s="20" t="inlineStr">
        <is>
          <t>人力成本</t>
        </is>
      </c>
      <c r="B13" s="20">
        <f>'参数假设'!B43*12</f>
        <v/>
      </c>
      <c r="C13" s="20">
        <f>B13*'P'!B71</f>
        <v/>
      </c>
      <c r="D13" s="20">
        <f>B13*'P'!B72</f>
        <v/>
      </c>
      <c r="E13" s="20">
        <f>SUM(B13:D13)</f>
        <v/>
      </c>
    </row>
    <row r="14">
      <c r="A14" s="20" t="inlineStr">
        <is>
          <t>硬件采购+安装</t>
        </is>
      </c>
      <c r="B14" s="20">
        <f>B4*2*'参数假设'!B26</f>
        <v/>
      </c>
      <c r="C14" s="20">
        <f>(C4-B4)*'参数假设'!B26</f>
        <v/>
      </c>
      <c r="D14" s="20">
        <f>(D4-C4)*'参数假设'!B26</f>
        <v/>
      </c>
      <c r="E14" s="20">
        <f>SUM(B14:D14)</f>
        <v/>
      </c>
    </row>
    <row r="15">
      <c r="A15" s="20" t="inlineStr">
        <is>
          <t>运营成本</t>
        </is>
      </c>
      <c r="B15" s="20">
        <f>'参数假设'!B58*12</f>
        <v/>
      </c>
      <c r="C15" s="20">
        <f>B15*'P'!B71</f>
        <v/>
      </c>
      <c r="D15" s="20">
        <f>B15*'P'!B72</f>
        <v/>
      </c>
      <c r="E15" s="20">
        <f>SUM(B15:D15)</f>
        <v/>
      </c>
    </row>
    <row r="16">
      <c r="A16" s="21" t="inlineStr">
        <is>
          <t>成本合计</t>
        </is>
      </c>
      <c r="B16" s="22">
        <f>B13+B14+B15</f>
        <v/>
      </c>
      <c r="C16" s="22">
        <f>C13+C14+C15</f>
        <v/>
      </c>
      <c r="D16" s="22">
        <f>D13+D14+D15</f>
        <v/>
      </c>
      <c r="E16" s="23">
        <f>SUM(B16:D16)</f>
        <v/>
      </c>
    </row>
    <row r="18">
      <c r="A18" s="18" t="inlineStr">
        <is>
          <t>三、利润与回报</t>
        </is>
      </c>
    </row>
    <row r="19">
      <c r="A19" s="21" t="inlineStr">
        <is>
          <t>年净利润</t>
        </is>
      </c>
      <c r="B19" s="24">
        <f>B10-B16</f>
        <v/>
      </c>
      <c r="C19" s="24">
        <f>C10-C16</f>
        <v/>
      </c>
      <c r="D19" s="24">
        <f>D10-D16</f>
        <v/>
      </c>
      <c r="E19" s="25">
        <f>SUM(B19:D19)</f>
        <v/>
      </c>
    </row>
    <row r="20">
      <c r="A20" s="27" t="inlineStr">
        <is>
          <t>累计净利润</t>
        </is>
      </c>
      <c r="B20" s="27">
        <f>B19</f>
        <v/>
      </c>
      <c r="C20" s="27">
        <f>B20+C19</f>
        <v/>
      </c>
      <c r="D20" s="27">
        <f>C20+D19</f>
        <v/>
      </c>
      <c r="E20" s="27">
        <f>D20</f>
        <v/>
      </c>
    </row>
    <row r="21">
      <c r="A21" s="19" t="inlineStr">
        <is>
          <t>净利率</t>
        </is>
      </c>
      <c r="B21" s="28">
        <f>IF(B10=0,0,B19/B10)</f>
        <v/>
      </c>
      <c r="C21" s="28">
        <f>IF(C10=0,0,C19/C10)</f>
        <v/>
      </c>
      <c r="D21" s="28">
        <f>IF(D10=0,0,D19/D10)</f>
        <v/>
      </c>
      <c r="E21" s="28">
        <f>E19/E10</f>
        <v/>
      </c>
    </row>
    <row r="23">
      <c r="A23" s="18" t="inlineStr">
        <is>
          <t>四、投资回报指标</t>
        </is>
      </c>
    </row>
    <row r="24">
      <c r="A24" s="7" t="inlineStr">
        <is>
          <t>初始投资（Y1总成本）</t>
        </is>
      </c>
      <c r="B24" s="29">
        <f>B16</f>
        <v/>
      </c>
      <c r="C24" s="30" t="n"/>
      <c r="D24" s="30" t="n"/>
      <c r="E24" s="30" t="n"/>
    </row>
    <row r="25">
      <c r="A25" s="7" t="inlineStr">
        <is>
          <t>三年累计净利润</t>
        </is>
      </c>
      <c r="B25" s="27">
        <f>E19</f>
        <v/>
      </c>
      <c r="C25" s="30" t="n"/>
      <c r="D25" s="30" t="n"/>
      <c r="E25" s="30" t="n"/>
    </row>
    <row r="26">
      <c r="A26" s="7" t="inlineStr">
        <is>
          <t>折现率</t>
        </is>
      </c>
      <c r="B26" s="31">
        <f>'参数假设'!B73</f>
        <v/>
      </c>
      <c r="C26" s="30" t="n"/>
      <c r="D26" s="30" t="n"/>
      <c r="E26" s="30" t="n"/>
    </row>
    <row r="27">
      <c r="A27" s="32" t="inlineStr">
        <is>
          <t>NPV（净现值）</t>
        </is>
      </c>
      <c r="B27" s="27">
        <f>NPV(B26,B19:D19)</f>
        <v/>
      </c>
      <c r="C27" s="30" t="n"/>
      <c r="D27" s="30" t="n"/>
      <c r="E27" s="30" t="n"/>
    </row>
    <row r="28">
      <c r="A28" s="32" t="inlineStr">
        <is>
          <t>IRR（内部收益率）</t>
        </is>
      </c>
      <c r="B28" s="33">
        <f>IFERROR(IRR(B19:D19),"待盈利")</f>
        <v/>
      </c>
      <c r="C28" s="30" t="n"/>
      <c r="D28" s="30" t="n"/>
      <c r="E28" s="30" t="n"/>
    </row>
  </sheetData>
  <mergeCells count="5">
    <mergeCell ref="A12:E12"/>
    <mergeCell ref="A7:E7"/>
    <mergeCell ref="A1:E1"/>
    <mergeCell ref="A23:E23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SCOP 盈亏平衡分析</t>
        </is>
      </c>
    </row>
    <row r="3">
      <c r="A3" s="17" t="inlineStr">
        <is>
          <t>月户数</t>
        </is>
      </c>
      <c r="B3" s="17" t="inlineStr">
        <is>
          <t>月订阅收入</t>
        </is>
      </c>
      <c r="C3" s="17" t="inlineStr">
        <is>
          <t>月固定成本</t>
        </is>
      </c>
      <c r="D3" s="17" t="inlineStr">
        <is>
          <t>月变动成本</t>
        </is>
      </c>
      <c r="E3" s="17" t="inlineStr">
        <is>
          <t>月总成本</t>
        </is>
      </c>
      <c r="F3" s="17" t="inlineStr">
        <is>
          <t>月利润</t>
        </is>
      </c>
    </row>
    <row r="4">
      <c r="A4" s="20" t="n">
        <v>500</v>
      </c>
      <c r="B4" s="34">
        <f>A4*'参数假设'!B16</f>
        <v/>
      </c>
      <c r="C4" s="34">
        <f>'参数假设'!B43+'参数假设'!B58</f>
        <v/>
      </c>
      <c r="D4" s="34">
        <f>A4*'参数假设'!B26/24+A4*0.05*'参数假设'!B26/12</f>
        <v/>
      </c>
      <c r="E4" s="34">
        <f>C4+D4</f>
        <v/>
      </c>
      <c r="F4" s="34">
        <f>B4-E4</f>
        <v/>
      </c>
    </row>
    <row r="5">
      <c r="A5" s="20" t="n">
        <v>1000</v>
      </c>
      <c r="B5" s="34">
        <f>A5*'参数假设'!B16</f>
        <v/>
      </c>
      <c r="C5" s="34">
        <f>'参数假设'!B43+'参数假设'!B58</f>
        <v/>
      </c>
      <c r="D5" s="34">
        <f>A5*'参数假设'!B26/24+A5*0.05*'参数假设'!B26/12</f>
        <v/>
      </c>
      <c r="E5" s="34">
        <f>C5+D5</f>
        <v/>
      </c>
      <c r="F5" s="34">
        <f>B5-E5</f>
        <v/>
      </c>
    </row>
    <row r="6">
      <c r="A6" s="20" t="n">
        <v>1500</v>
      </c>
      <c r="B6" s="34">
        <f>A6*'参数假设'!B16</f>
        <v/>
      </c>
      <c r="C6" s="34">
        <f>'参数假设'!B43+'参数假设'!B58</f>
        <v/>
      </c>
      <c r="D6" s="34">
        <f>A6*'参数假设'!B26/24+A6*0.05*'参数假设'!B26/12</f>
        <v/>
      </c>
      <c r="E6" s="34">
        <f>C6+D6</f>
        <v/>
      </c>
      <c r="F6" s="34">
        <f>B6-E6</f>
        <v/>
      </c>
    </row>
    <row r="7">
      <c r="A7" s="20" t="n">
        <v>2000</v>
      </c>
      <c r="B7" s="34">
        <f>A7*'参数假设'!B16</f>
        <v/>
      </c>
      <c r="C7" s="34">
        <f>'参数假设'!B43+'参数假设'!B58</f>
        <v/>
      </c>
      <c r="D7" s="34">
        <f>A7*'参数假设'!B26/24+A7*0.05*'参数假设'!B26/12</f>
        <v/>
      </c>
      <c r="E7" s="34">
        <f>C7+D7</f>
        <v/>
      </c>
      <c r="F7" s="34">
        <f>B7-E7</f>
        <v/>
      </c>
    </row>
    <row r="8">
      <c r="A8" s="35" t="n">
        <v>3000</v>
      </c>
      <c r="B8" s="36">
        <f>A8*'参数假设'!B16</f>
        <v/>
      </c>
      <c r="C8" s="36">
        <f>'参数假设'!B43+'参数假设'!B58</f>
        <v/>
      </c>
      <c r="D8" s="36">
        <f>A8*'参数假设'!B26/24+A8*0.05*'参数假设'!B26/12</f>
        <v/>
      </c>
      <c r="E8" s="36">
        <f>C8+D8</f>
        <v/>
      </c>
      <c r="F8" s="36">
        <f>B8-E8</f>
        <v/>
      </c>
    </row>
    <row r="9">
      <c r="A9" s="35" t="n">
        <v>5000</v>
      </c>
      <c r="B9" s="36">
        <f>A9*'参数假设'!B16</f>
        <v/>
      </c>
      <c r="C9" s="36">
        <f>'参数假设'!B43+'参数假设'!B58</f>
        <v/>
      </c>
      <c r="D9" s="36">
        <f>A9*'参数假设'!B26/24+A9*0.05*'参数假设'!B26/12</f>
        <v/>
      </c>
      <c r="E9" s="36">
        <f>C9+D9</f>
        <v/>
      </c>
      <c r="F9" s="36">
        <f>B9-E9</f>
        <v/>
      </c>
    </row>
    <row r="10">
      <c r="A10" s="35" t="n">
        <v>8000</v>
      </c>
      <c r="B10" s="36">
        <f>A10*'参数假设'!B16</f>
        <v/>
      </c>
      <c r="C10" s="36">
        <f>'参数假设'!B43+'参数假设'!B58</f>
        <v/>
      </c>
      <c r="D10" s="36">
        <f>A10*'参数假设'!B26/24+A10*0.05*'参数假设'!B26/12</f>
        <v/>
      </c>
      <c r="E10" s="36">
        <f>C10+D10</f>
        <v/>
      </c>
      <c r="F10" s="36">
        <f>B10-E10</f>
        <v/>
      </c>
    </row>
    <row r="11">
      <c r="A11" s="35" t="n">
        <v>10000</v>
      </c>
      <c r="B11" s="36">
        <f>A11*'参数假设'!B16</f>
        <v/>
      </c>
      <c r="C11" s="36">
        <f>'参数假设'!B43+'参数假设'!B58</f>
        <v/>
      </c>
      <c r="D11" s="36">
        <f>A11*'参数假设'!B26/24+A11*0.05*'参数假设'!B26/12</f>
        <v/>
      </c>
      <c r="E11" s="36">
        <f>C11+D11</f>
        <v/>
      </c>
      <c r="F11" s="36">
        <f>B11-E11</f>
        <v/>
      </c>
    </row>
    <row r="13">
      <c r="A13" s="18" t="inlineStr">
        <is>
          <t>盈亏平衡分析结论</t>
        </is>
      </c>
    </row>
    <row r="14">
      <c r="A14" s="12" t="inlineStr">
        <is>
          <t>月固定成本（人力+运营）</t>
        </is>
      </c>
      <c r="B14" s="37">
        <f>'参数假设'!B43+'参数假设'!B58</f>
        <v/>
      </c>
      <c r="C14" s="12" t="inlineStr">
        <is>
          <t>元/月</t>
        </is>
      </c>
    </row>
    <row r="15">
      <c r="A15" s="12" t="inlineStr">
        <is>
          <t>加权月ARPU</t>
        </is>
      </c>
      <c r="B15" s="37">
        <f>'参数假设'!B16</f>
        <v/>
      </c>
      <c r="C15" s="12" t="inlineStr">
        <is>
          <t>元/户/月</t>
        </is>
      </c>
    </row>
    <row r="16">
      <c r="A16" s="12" t="inlineStr">
        <is>
          <t>单位边际贡献</t>
        </is>
      </c>
      <c r="B16" s="37">
        <f>'参数假设'!B16-('参数假设'!B26/24+0.05*'参数假设'!B26/12)</f>
        <v/>
      </c>
      <c r="C16" s="12" t="inlineStr">
        <is>
          <t>元/户/月</t>
        </is>
      </c>
    </row>
    <row r="17">
      <c r="A17" s="12" t="inlineStr">
        <is>
          <t>盈亏平衡户数（理论）</t>
        </is>
      </c>
      <c r="B17" s="37">
        <f>('参数假设'!B43+'参数假设'!B58)/('参数假设'!B16-('参数假设'!B26/24+0.05*'参数假设'!B26/12))</f>
        <v/>
      </c>
      <c r="C17" s="12" t="inlineStr">
        <is>
          <t>户</t>
        </is>
      </c>
    </row>
    <row r="18">
      <c r="A18" s="12" t="inlineStr">
        <is>
          <t>对应社区数（约100户/社区）</t>
        </is>
      </c>
      <c r="B18" s="37">
        <f>ROUNDUP(('参数假设'!B43+'参数假设'!B58)/('参数假设'!B16-('参数假设'!B26/24+0.05*'参数假设'!B26/12))/100,0)</f>
        <v/>
      </c>
      <c r="C18" s="12" t="inlineStr">
        <is>
          <t>个社区</t>
        </is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2026-07-02T12:31:56Z</dcterms:created>
  <dcterms:modified xmlns:dcterms="http://purl.org/dc/terms/" xmlns:xsi="http://www.w3.org/2001/XMLSchema-instance" xsi:type="dcterms:W3CDTF">2026-07-02T12:31:56Z</dcterms:modified>
</cp:coreProperties>
</file>